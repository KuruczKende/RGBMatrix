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schMatrixes\RGBMatrix\"/>
    </mc:Choice>
  </mc:AlternateContent>
  <xr:revisionPtr revIDLastSave="0" documentId="13_ncr:1_{60C7F869-78D7-4F41-99FF-FB7DE4CA94EC}" xr6:coauthVersionLast="47" xr6:coauthVersionMax="47" xr10:uidLastSave="{00000000-0000-0000-0000-000000000000}"/>
  <bookViews>
    <workbookView xWindow="-16305" yWindow="-5400" windowWidth="16410" windowHeight="10170" xr2:uid="{559C0B81-8BCB-491B-870A-D4F3BFA0BCE1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1" l="1"/>
  <c r="D52" i="1"/>
  <c r="C52" i="1"/>
  <c r="C60" i="1"/>
  <c r="F3" i="3"/>
  <c r="F2" i="3"/>
  <c r="H34" i="1" l="1"/>
  <c r="H39" i="1"/>
  <c r="H38" i="1"/>
  <c r="G28" i="1"/>
  <c r="G31" i="1" s="1"/>
  <c r="B35" i="1"/>
  <c r="B34" i="1"/>
  <c r="H23" i="1"/>
  <c r="H22" i="1"/>
  <c r="H25" i="1" s="1"/>
  <c r="G25" i="1"/>
  <c r="F25" i="1"/>
  <c r="G24" i="1"/>
  <c r="F24" i="1"/>
  <c r="I20" i="1"/>
  <c r="I19" i="1"/>
  <c r="I18" i="1"/>
  <c r="H6" i="1"/>
  <c r="G6" i="1"/>
  <c r="F6" i="1"/>
  <c r="C17" i="1"/>
  <c r="C15" i="1"/>
  <c r="C4" i="1"/>
  <c r="B5" i="1" s="1"/>
  <c r="H5" i="1" s="1"/>
  <c r="I5" i="1" l="1"/>
  <c r="H4" i="1"/>
  <c r="D15" i="1"/>
  <c r="D18" i="1" s="1"/>
  <c r="F4" i="1"/>
  <c r="G30" i="1"/>
  <c r="G50" i="1"/>
  <c r="G49" i="1"/>
  <c r="G48" i="1"/>
  <c r="G47" i="1"/>
  <c r="G46" i="1"/>
  <c r="G45" i="1"/>
  <c r="G44" i="1"/>
  <c r="G43" i="1"/>
  <c r="G42" i="1"/>
  <c r="G41" i="1"/>
  <c r="G40" i="1"/>
  <c r="G39" i="1"/>
  <c r="G37" i="1"/>
  <c r="G36" i="1"/>
  <c r="G35" i="1"/>
  <c r="G34" i="1"/>
  <c r="G33" i="1"/>
  <c r="G38" i="1"/>
  <c r="G32" i="1"/>
  <c r="D5" i="1"/>
  <c r="F5" i="1" s="1"/>
  <c r="E5" i="1"/>
  <c r="G5" i="1" l="1"/>
  <c r="G4" i="1"/>
  <c r="C16" i="1"/>
  <c r="D16" i="1" s="1"/>
  <c r="D17" i="1"/>
</calcChain>
</file>

<file path=xl/sharedStrings.xml><?xml version="1.0" encoding="utf-8"?>
<sst xmlns="http://schemas.openxmlformats.org/spreadsheetml/2006/main" count="46" uniqueCount="42">
  <si>
    <t>single window</t>
  </si>
  <si>
    <t>in rooms</t>
  </si>
  <si>
    <t>between rooms</t>
  </si>
  <si>
    <t>rooms</t>
  </si>
  <si>
    <t>height between floors</t>
  </si>
  <si>
    <t>Led size:</t>
  </si>
  <si>
    <t>in unit</t>
  </si>
  <si>
    <t>width</t>
  </si>
  <si>
    <t>height</t>
  </si>
  <si>
    <t>real height</t>
  </si>
  <si>
    <t>single led</t>
  </si>
  <si>
    <t>unit</t>
  </si>
  <si>
    <t>real</t>
  </si>
  <si>
    <t>used</t>
  </si>
  <si>
    <t>whole height</t>
  </si>
  <si>
    <t>kicsi</t>
  </si>
  <si>
    <t>nagy</t>
  </si>
  <si>
    <t>fekvő</t>
  </si>
  <si>
    <t>álló</t>
  </si>
  <si>
    <t>arány</t>
  </si>
  <si>
    <t>tanuló szélesség:</t>
  </si>
  <si>
    <t>konyhák+tanulók szélesség:</t>
  </si>
  <si>
    <t>szoknya mélység:</t>
  </si>
  <si>
    <t>konyhák+tanulók magasság:</t>
  </si>
  <si>
    <t>mátrix panel szélesség</t>
  </si>
  <si>
    <t>mátrix panel magasság:</t>
  </si>
  <si>
    <t>tanuló mélység:</t>
  </si>
  <si>
    <t>3 panel</t>
  </si>
  <si>
    <t>2 panel</t>
  </si>
  <si>
    <t>konyha mélység:</t>
  </si>
  <si>
    <t>oldalanként szoknya szélesség:</t>
  </si>
  <si>
    <t>mm</t>
  </si>
  <si>
    <t>megjegyzés</t>
  </si>
  <si>
    <t>használt</t>
  </si>
  <si>
    <t>oldalpanel szélesség:</t>
  </si>
  <si>
    <t>oldalpanel magasság:</t>
  </si>
  <si>
    <t>szoknya magassága:</t>
  </si>
  <si>
    <t>shift:</t>
  </si>
  <si>
    <t>dollar</t>
  </si>
  <si>
    <t>db</t>
  </si>
  <si>
    <t>ösz</t>
  </si>
  <si>
    <t>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</si>
</sst>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50A98E-ABAD-4BA1-B7BE-5B44529213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EB92-1EC6-4CDC-BE9B-680791E2B7A8}">
  <dimension ref="A3:I61"/>
  <sheetViews>
    <sheetView tabSelected="1" topLeftCell="A24" zoomScale="85" zoomScaleNormal="85" workbookViewId="0">
      <selection activeCell="E53" sqref="E53"/>
    </sheetView>
  </sheetViews>
  <sheetFormatPr defaultRowHeight="15" x14ac:dyDescent="0.25"/>
  <cols>
    <col min="1" max="1" width="5.28515625" bestFit="1" customWidth="1"/>
    <col min="2" max="2" width="21" bestFit="1" customWidth="1"/>
    <col min="3" max="3" width="14" bestFit="1" customWidth="1"/>
    <col min="4" max="4" width="8.7109375" bestFit="1" customWidth="1"/>
    <col min="5" max="5" width="28.5703125" customWidth="1"/>
    <col min="6" max="6" width="6.5703125" bestFit="1" customWidth="1"/>
    <col min="8" max="8" width="17.7109375" bestFit="1" customWidth="1"/>
    <col min="9" max="9" width="12.7109375" bestFit="1" customWidth="1"/>
  </cols>
  <sheetData>
    <row r="3" spans="1:9" x14ac:dyDescent="0.25">
      <c r="B3" t="s">
        <v>4</v>
      </c>
      <c r="C3" t="s">
        <v>0</v>
      </c>
      <c r="D3" t="s">
        <v>1</v>
      </c>
      <c r="E3" t="s">
        <v>2</v>
      </c>
      <c r="F3" t="s">
        <v>3</v>
      </c>
      <c r="G3" t="s">
        <v>7</v>
      </c>
      <c r="H3" t="s">
        <v>8</v>
      </c>
      <c r="I3" t="s">
        <v>14</v>
      </c>
    </row>
    <row r="4" spans="1:9" x14ac:dyDescent="0.25">
      <c r="A4" t="s">
        <v>11</v>
      </c>
      <c r="B4">
        <v>1.6</v>
      </c>
      <c r="C4">
        <f>1.2</f>
        <v>1.2</v>
      </c>
      <c r="D4">
        <v>0.4</v>
      </c>
      <c r="E4">
        <v>0.6</v>
      </c>
      <c r="F4">
        <f>2*C4+D4</f>
        <v>2.8</v>
      </c>
      <c r="G4">
        <f>8*(F4+E4)</f>
        <v>27.2</v>
      </c>
      <c r="H4">
        <f>13*C4+12*B4</f>
        <v>34.800000000000004</v>
      </c>
      <c r="I4">
        <v>60</v>
      </c>
    </row>
    <row r="5" spans="1:9" x14ac:dyDescent="0.25">
      <c r="A5" t="s">
        <v>12</v>
      </c>
      <c r="B5">
        <f>B4*$C5/$C4</f>
        <v>1.3333333333333335</v>
      </c>
      <c r="C5">
        <v>1</v>
      </c>
      <c r="D5">
        <f>D4*$C5/$C4</f>
        <v>0.33333333333333337</v>
      </c>
      <c r="E5">
        <f t="shared" ref="E5" si="0">E4*$C5/$C4</f>
        <v>0.5</v>
      </c>
      <c r="F5">
        <f>2*C5+D5</f>
        <v>2.3333333333333335</v>
      </c>
      <c r="G5">
        <f>8*(F5+E5)</f>
        <v>22.666666666666668</v>
      </c>
      <c r="H5">
        <f>13*C5+12*B5</f>
        <v>29</v>
      </c>
      <c r="I5">
        <f>I4*$C5/$C4</f>
        <v>50</v>
      </c>
    </row>
    <row r="6" spans="1:9" x14ac:dyDescent="0.25">
      <c r="A6" t="s">
        <v>13</v>
      </c>
      <c r="B6">
        <v>1.3</v>
      </c>
      <c r="C6">
        <v>1</v>
      </c>
      <c r="D6">
        <v>0.3</v>
      </c>
      <c r="E6">
        <v>0.5</v>
      </c>
      <c r="F6">
        <f>2*C6+D6</f>
        <v>2.2999999999999998</v>
      </c>
      <c r="G6">
        <f>8*(F6+E6)</f>
        <v>22.4</v>
      </c>
      <c r="H6">
        <f>13*C6+12*B6</f>
        <v>28.6</v>
      </c>
    </row>
    <row r="10" spans="1:9" x14ac:dyDescent="0.25">
      <c r="B10" t="s">
        <v>5</v>
      </c>
      <c r="C10">
        <v>1</v>
      </c>
    </row>
    <row r="14" spans="1:9" x14ac:dyDescent="0.25">
      <c r="C14" t="s">
        <v>6</v>
      </c>
      <c r="D14" t="s">
        <v>10</v>
      </c>
    </row>
    <row r="15" spans="1:9" x14ac:dyDescent="0.25">
      <c r="C15">
        <f>1</f>
        <v>1</v>
      </c>
      <c r="D15">
        <f>($C$10/$C$4)</f>
        <v>0.83333333333333337</v>
      </c>
    </row>
    <row r="16" spans="1:9" x14ac:dyDescent="0.25">
      <c r="B16" t="s">
        <v>7</v>
      </c>
      <c r="C16">
        <f>8*(F4+E4)</f>
        <v>27.2</v>
      </c>
      <c r="D16">
        <f>$C16*D$15</f>
        <v>22.666666666666668</v>
      </c>
    </row>
    <row r="17" spans="2:9" x14ac:dyDescent="0.25">
      <c r="B17" t="s">
        <v>8</v>
      </c>
      <c r="C17">
        <f>13*C4+12*B4</f>
        <v>34.800000000000004</v>
      </c>
      <c r="D17">
        <f>$C17*D$15</f>
        <v>29.000000000000004</v>
      </c>
    </row>
    <row r="18" spans="2:9" x14ac:dyDescent="0.25">
      <c r="B18" t="s">
        <v>9</v>
      </c>
      <c r="C18" s="1">
        <v>60</v>
      </c>
      <c r="D18">
        <f>$C18*D$15</f>
        <v>50</v>
      </c>
      <c r="I18">
        <f>2*(1.5+2.2+0.8)+3.2</f>
        <v>12.2</v>
      </c>
    </row>
    <row r="19" spans="2:9" x14ac:dyDescent="0.25">
      <c r="I19">
        <f>12.2/15.8</f>
        <v>0.77215189873417711</v>
      </c>
    </row>
    <row r="20" spans="2:9" x14ac:dyDescent="0.25">
      <c r="I20">
        <f>20.6/28.6</f>
        <v>0.72027972027972031</v>
      </c>
    </row>
    <row r="21" spans="2:9" x14ac:dyDescent="0.25">
      <c r="F21" t="s">
        <v>17</v>
      </c>
      <c r="G21" t="s">
        <v>18</v>
      </c>
    </row>
    <row r="22" spans="2:9" x14ac:dyDescent="0.25">
      <c r="E22" t="s">
        <v>15</v>
      </c>
      <c r="F22">
        <v>20.6</v>
      </c>
      <c r="G22">
        <v>12.2</v>
      </c>
      <c r="H22">
        <f>F22/G22</f>
        <v>1.6885245901639347</v>
      </c>
    </row>
    <row r="23" spans="2:9" x14ac:dyDescent="0.25">
      <c r="E23" t="s">
        <v>16</v>
      </c>
      <c r="F23">
        <v>26.6</v>
      </c>
      <c r="G23">
        <v>15.8</v>
      </c>
      <c r="H23">
        <f>F23/G23</f>
        <v>1.6835443037974684</v>
      </c>
    </row>
    <row r="24" spans="2:9" x14ac:dyDescent="0.25">
      <c r="F24">
        <f>F22/F23</f>
        <v>0.77443609022556392</v>
      </c>
      <c r="G24">
        <f>G22/G23</f>
        <v>0.77215189873417711</v>
      </c>
    </row>
    <row r="25" spans="2:9" ht="15.75" thickBot="1" x14ac:dyDescent="0.3">
      <c r="F25">
        <f>F23/F22</f>
        <v>1.29126213592233</v>
      </c>
      <c r="G25">
        <f t="shared" ref="G25" si="1">G23/G22</f>
        <v>1.2950819672131149</v>
      </c>
      <c r="H25">
        <f>(H22+H23)/2</f>
        <v>1.6860344469807016</v>
      </c>
    </row>
    <row r="26" spans="2:9" x14ac:dyDescent="0.25">
      <c r="E26" s="2"/>
      <c r="F26" s="2"/>
      <c r="G26" s="3"/>
      <c r="H26" s="3"/>
      <c r="I26" s="4" t="s">
        <v>33</v>
      </c>
    </row>
    <row r="27" spans="2:9" ht="15.75" thickBot="1" x14ac:dyDescent="0.3">
      <c r="E27" s="8"/>
      <c r="F27" s="8"/>
      <c r="G27" s="9" t="s">
        <v>31</v>
      </c>
      <c r="H27" s="9" t="s">
        <v>32</v>
      </c>
      <c r="I27" s="10" t="s">
        <v>31</v>
      </c>
    </row>
    <row r="28" spans="2:9" x14ac:dyDescent="0.25">
      <c r="E28" s="5" t="s">
        <v>19</v>
      </c>
      <c r="F28" s="5">
        <v>1</v>
      </c>
      <c r="G28" s="6">
        <f>G29/F29</f>
        <v>1.1407766990291262</v>
      </c>
      <c r="H28" s="6"/>
      <c r="I28" s="7"/>
    </row>
    <row r="29" spans="2:9" x14ac:dyDescent="0.25">
      <c r="E29" s="5" t="s">
        <v>24</v>
      </c>
      <c r="F29" s="5">
        <v>20.6</v>
      </c>
      <c r="G29" s="6">
        <v>23.5</v>
      </c>
      <c r="H29" s="6"/>
      <c r="I29" s="7">
        <v>23.5</v>
      </c>
    </row>
    <row r="30" spans="2:9" x14ac:dyDescent="0.25">
      <c r="E30" s="5" t="s">
        <v>22</v>
      </c>
      <c r="F30" s="5">
        <v>3</v>
      </c>
      <c r="G30" s="6">
        <f>F30*G$28</f>
        <v>3.4223300970873787</v>
      </c>
      <c r="H30" s="6" t="s">
        <v>28</v>
      </c>
      <c r="I30" s="7"/>
    </row>
    <row r="31" spans="2:9" x14ac:dyDescent="0.25">
      <c r="E31" s="5" t="s">
        <v>20</v>
      </c>
      <c r="F31" s="5">
        <v>2.9</v>
      </c>
      <c r="G31" s="6">
        <f t="shared" ref="G31:G50" si="2">F31*G$28</f>
        <v>3.3082524271844655</v>
      </c>
      <c r="H31" s="6"/>
      <c r="I31" s="7">
        <v>3.3</v>
      </c>
    </row>
    <row r="32" spans="2:9" x14ac:dyDescent="0.25">
      <c r="E32" s="5" t="s">
        <v>21</v>
      </c>
      <c r="F32" s="5">
        <v>10.6</v>
      </c>
      <c r="G32" s="6">
        <f t="shared" si="2"/>
        <v>12.092233009708737</v>
      </c>
      <c r="H32" s="6"/>
      <c r="I32" s="7">
        <v>12</v>
      </c>
    </row>
    <row r="33" spans="2:9" x14ac:dyDescent="0.25">
      <c r="E33" s="5" t="s">
        <v>23</v>
      </c>
      <c r="F33" s="5">
        <v>35.200000000000003</v>
      </c>
      <c r="G33" s="6">
        <f t="shared" si="2"/>
        <v>40.155339805825243</v>
      </c>
      <c r="H33" s="6"/>
      <c r="I33" s="7">
        <v>40</v>
      </c>
    </row>
    <row r="34" spans="2:9" x14ac:dyDescent="0.25">
      <c r="B34">
        <f>29.5*1000/22.4</f>
        <v>1316.9642857142858</v>
      </c>
      <c r="E34" s="5" t="s">
        <v>25</v>
      </c>
      <c r="F34" s="5">
        <v>45.5</v>
      </c>
      <c r="G34" s="6">
        <f t="shared" si="2"/>
        <v>51.905339805825243</v>
      </c>
      <c r="H34" s="6" t="str">
        <f>"-1.6mm nyál miatt"</f>
        <v>-1.6mm nyál miatt</v>
      </c>
      <c r="I34" s="7">
        <v>50</v>
      </c>
    </row>
    <row r="35" spans="2:9" x14ac:dyDescent="0.25">
      <c r="B35" t="str">
        <f>"1:1317"</f>
        <v>1:1317</v>
      </c>
      <c r="E35" s="5" t="s">
        <v>26</v>
      </c>
      <c r="F35" s="5">
        <v>4.5999999999999996</v>
      </c>
      <c r="G35" s="6">
        <f t="shared" si="2"/>
        <v>5.2475728155339798</v>
      </c>
      <c r="H35" s="6" t="s">
        <v>27</v>
      </c>
      <c r="I35" s="7"/>
    </row>
    <row r="36" spans="2:9" x14ac:dyDescent="0.25">
      <c r="E36" s="5" t="s">
        <v>29</v>
      </c>
      <c r="F36" s="5">
        <v>2.7</v>
      </c>
      <c r="G36" s="6">
        <f t="shared" si="2"/>
        <v>3.0800970873786406</v>
      </c>
      <c r="H36" s="6" t="s">
        <v>28</v>
      </c>
      <c r="I36" s="7"/>
    </row>
    <row r="37" spans="2:9" x14ac:dyDescent="0.25">
      <c r="E37" s="5" t="s">
        <v>30</v>
      </c>
      <c r="F37" s="5">
        <v>10.199999999999999</v>
      </c>
      <c r="G37" s="6">
        <f t="shared" si="2"/>
        <v>11.635922330097086</v>
      </c>
      <c r="H37" s="6"/>
      <c r="I37" s="7">
        <v>11.5</v>
      </c>
    </row>
    <row r="38" spans="2:9" x14ac:dyDescent="0.25">
      <c r="E38" s="5" t="s">
        <v>34</v>
      </c>
      <c r="F38" s="5">
        <v>20.2</v>
      </c>
      <c r="G38" s="6">
        <f>F38*G$28</f>
        <v>23.043689320388346</v>
      </c>
      <c r="H38" s="6" t="str">
        <f>"-3.2mm nyák miatt"</f>
        <v>-3.2mm nyák miatt</v>
      </c>
      <c r="I38" s="7">
        <v>19.8</v>
      </c>
    </row>
    <row r="39" spans="2:9" x14ac:dyDescent="0.25">
      <c r="E39" s="5" t="s">
        <v>35</v>
      </c>
      <c r="F39" s="5">
        <v>45.5</v>
      </c>
      <c r="G39" s="6">
        <f t="shared" si="2"/>
        <v>51.905339805825243</v>
      </c>
      <c r="H39" s="6" t="str">
        <f>"-1.6mm nyák miatt"</f>
        <v>-1.6mm nyák miatt</v>
      </c>
      <c r="I39" s="7">
        <v>50.3</v>
      </c>
    </row>
    <row r="40" spans="2:9" x14ac:dyDescent="0.25">
      <c r="E40" s="5" t="s">
        <v>36</v>
      </c>
      <c r="F40" s="5">
        <v>8.4</v>
      </c>
      <c r="G40" s="6">
        <f t="shared" si="2"/>
        <v>9.5825242718446599</v>
      </c>
      <c r="H40" s="6"/>
      <c r="I40" s="7">
        <v>9.6</v>
      </c>
    </row>
    <row r="41" spans="2:9" x14ac:dyDescent="0.25">
      <c r="E41" s="5"/>
      <c r="F41" s="5"/>
      <c r="G41" s="6">
        <f t="shared" si="2"/>
        <v>0</v>
      </c>
      <c r="H41" s="6"/>
      <c r="I41" s="7"/>
    </row>
    <row r="42" spans="2:9" x14ac:dyDescent="0.25">
      <c r="E42" s="5"/>
      <c r="F42" s="5"/>
      <c r="G42" s="6">
        <f t="shared" si="2"/>
        <v>0</v>
      </c>
      <c r="H42" s="6"/>
      <c r="I42" s="7"/>
    </row>
    <row r="43" spans="2:9" x14ac:dyDescent="0.25">
      <c r="E43" s="5"/>
      <c r="F43" s="5"/>
      <c r="G43" s="6">
        <f t="shared" si="2"/>
        <v>0</v>
      </c>
      <c r="H43" s="6"/>
      <c r="I43" s="7"/>
    </row>
    <row r="44" spans="2:9" x14ac:dyDescent="0.25">
      <c r="E44" s="5"/>
      <c r="F44" s="5"/>
      <c r="G44" s="6">
        <f t="shared" si="2"/>
        <v>0</v>
      </c>
      <c r="H44" s="6"/>
      <c r="I44" s="7"/>
    </row>
    <row r="45" spans="2:9" x14ac:dyDescent="0.25">
      <c r="E45" s="5"/>
      <c r="F45" s="5"/>
      <c r="G45" s="6">
        <f t="shared" si="2"/>
        <v>0</v>
      </c>
      <c r="H45" s="6"/>
      <c r="I45" s="7"/>
    </row>
    <row r="46" spans="2:9" x14ac:dyDescent="0.25">
      <c r="E46" s="5"/>
      <c r="F46" s="5"/>
      <c r="G46" s="6">
        <f t="shared" si="2"/>
        <v>0</v>
      </c>
      <c r="H46" s="6"/>
      <c r="I46" s="7"/>
    </row>
    <row r="47" spans="2:9" x14ac:dyDescent="0.25">
      <c r="E47" s="5"/>
      <c r="F47" s="5"/>
      <c r="G47" s="6">
        <f t="shared" si="2"/>
        <v>0</v>
      </c>
      <c r="H47" s="6"/>
      <c r="I47" s="7"/>
    </row>
    <row r="48" spans="2:9" x14ac:dyDescent="0.25">
      <c r="E48" s="5"/>
      <c r="F48" s="5"/>
      <c r="G48" s="6">
        <f t="shared" si="2"/>
        <v>0</v>
      </c>
      <c r="H48" s="6"/>
      <c r="I48" s="7"/>
    </row>
    <row r="49" spans="3:9" x14ac:dyDescent="0.25">
      <c r="E49" s="5"/>
      <c r="F49" s="5"/>
      <c r="G49" s="6">
        <f t="shared" si="2"/>
        <v>0</v>
      </c>
      <c r="H49" s="6"/>
      <c r="I49" s="7"/>
    </row>
    <row r="50" spans="3:9" ht="15.75" thickBot="1" x14ac:dyDescent="0.3">
      <c r="E50" s="8"/>
      <c r="F50" s="8"/>
      <c r="G50" s="9">
        <f t="shared" si="2"/>
        <v>0</v>
      </c>
      <c r="H50" s="9"/>
      <c r="I50" s="10"/>
    </row>
    <row r="52" spans="3:9" x14ac:dyDescent="0.25">
      <c r="C52">
        <f>(20.3-6*0.3)</f>
        <v>18.5</v>
      </c>
      <c r="D52">
        <f>C52/7.2</f>
        <v>2.5694444444444442</v>
      </c>
    </row>
    <row r="53" spans="3:9" x14ac:dyDescent="0.25">
      <c r="E53">
        <f>2.5*7+0.3*6</f>
        <v>19.3</v>
      </c>
    </row>
    <row r="59" spans="3:9" x14ac:dyDescent="0.25">
      <c r="C59">
        <v>45.39</v>
      </c>
    </row>
    <row r="60" spans="3:9" x14ac:dyDescent="0.25">
      <c r="C60">
        <f>(C59+C61)/2</f>
        <v>46.66</v>
      </c>
    </row>
    <row r="61" spans="3:9" x14ac:dyDescent="0.25">
      <c r="C61">
        <v>47.93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7C49-9A49-44B0-BB08-A8E52E6C6596}">
  <dimension ref="C1:F3"/>
  <sheetViews>
    <sheetView workbookViewId="0">
      <selection activeCell="E9" sqref="E9"/>
    </sheetView>
  </sheetViews>
  <sheetFormatPr defaultRowHeight="15" x14ac:dyDescent="0.25"/>
  <sheetData>
    <row r="1" spans="3:6" x14ac:dyDescent="0.25">
      <c r="D1" t="s">
        <v>38</v>
      </c>
      <c r="E1" t="s">
        <v>39</v>
      </c>
      <c r="F1" t="s">
        <v>40</v>
      </c>
    </row>
    <row r="2" spans="3:6" x14ac:dyDescent="0.25">
      <c r="C2" t="s">
        <v>37</v>
      </c>
      <c r="D2">
        <v>0.4</v>
      </c>
      <c r="E2">
        <v>2</v>
      </c>
      <c r="F2">
        <f>D2*E2</f>
        <v>0.8</v>
      </c>
    </row>
    <row r="3" spans="3:6" x14ac:dyDescent="0.25">
      <c r="C3" t="s">
        <v>41</v>
      </c>
      <c r="D3">
        <v>0.1</v>
      </c>
      <c r="E3">
        <v>16</v>
      </c>
      <c r="F3">
        <f>D3*E3</f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Kende Kurucz</dc:creator>
  <cp:lastModifiedBy>Kende Kurucz</cp:lastModifiedBy>
  <dcterms:created xsi:type="dcterms:W3CDTF">2025-11-05T22:17:03Z</dcterms:created>
  <dcterms:modified xsi:type="dcterms:W3CDTF">2026-01-01T00:19:58Z</dcterms:modified>
</cp:coreProperties>
</file>